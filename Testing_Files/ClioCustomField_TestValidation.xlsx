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netorgft5071812-my.sharepoint.com/personal/tdolan_quillarrowlaw_com/Documents/Documents/ClioTemplates_CustomFields_MassUpdate/Testing_Files/"/>
    </mc:Choice>
  </mc:AlternateContent>
  <xr:revisionPtr revIDLastSave="1353" documentId="8_{3120D6FD-25C6-47F0-8A39-89B25F99CA70}" xr6:coauthVersionLast="47" xr6:coauthVersionMax="47" xr10:uidLastSave="{3DC883BE-39E7-4E39-8B61-BFE02F2D8F10}"/>
  <bookViews>
    <workbookView minimized="1" xWindow="46092" yWindow="12" windowWidth="23016" windowHeight="13656" activeTab="1" xr2:uid="{DF2C5E22-660C-4BCB-A765-9F1A84EF46AA}"/>
  </bookViews>
  <sheets>
    <sheet name="FuncTestingScenarios" sheetId="4" r:id="rId1"/>
    <sheet name="EdgeCaseTestingScenarios" sheetId="3" r:id="rId2"/>
  </sheets>
  <definedNames>
    <definedName name="_Hlk108346204" localSheetId="1">EdgeCaseTestingScenarios!$D$12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6" i="4" l="1"/>
  <c r="E76" i="4"/>
  <c r="B76" i="4"/>
  <c r="G58" i="4"/>
  <c r="F58" i="4"/>
  <c r="E58" i="4"/>
  <c r="D58" i="4"/>
  <c r="C58" i="4"/>
  <c r="B58" i="4"/>
  <c r="E36" i="3"/>
  <c r="D76" i="4" l="1"/>
  <c r="C76" i="4"/>
  <c r="G76" i="4" l="1"/>
</calcChain>
</file>

<file path=xl/sharedStrings.xml><?xml version="1.0" encoding="utf-8"?>
<sst xmlns="http://schemas.openxmlformats.org/spreadsheetml/2006/main" count="191" uniqueCount="120">
  <si>
    <t>Fields that do not exist in lookup table</t>
  </si>
  <si>
    <t>Duplicate old values mapped to different new values</t>
  </si>
  <si>
    <r>
      <t>Non‑docx file in folder</t>
    </r>
    <r>
      <rPr>
        <sz val="11"/>
        <color theme="1"/>
        <rFont val="Aptos Narrow"/>
        <family val="2"/>
        <scheme val="minor"/>
      </rPr>
      <t> (ensure skip or fail gracefully)</t>
    </r>
  </si>
  <si>
    <r>
      <t>Zero‑byte or corrupted docx</t>
    </r>
    <r>
      <rPr>
        <sz val="11"/>
        <color theme="1"/>
        <rFont val="Aptos Narrow"/>
        <family val="2"/>
        <scheme val="minor"/>
      </rPr>
      <t> in upload folder</t>
    </r>
  </si>
  <si>
    <r>
      <t>Large file set (700+)</t>
    </r>
    <r>
      <rPr>
        <sz val="11"/>
        <color theme="1"/>
        <rFont val="Aptos Narrow"/>
        <family val="2"/>
        <scheme val="minor"/>
      </rPr>
      <t> to validate stability and rate‑limit handling</t>
    </r>
  </si>
  <si>
    <t>&lt;&lt;   MATTER.CUSTOMFIELD.PLAINTIFFSNAMESHORT &gt;&gt;</t>
  </si>
  <si>
    <t>&lt;&lt;   Matter.CustomField.PlaintiffsFullLegalName   &gt;&gt;</t>
  </si>
  <si>
    <t>&lt;&lt; Matter.ResponsibleAttorney   &gt;&gt;</t>
  </si>
  <si>
    <t>&lt;&lt; Matter.CustomField.CaseNumber&gt;&gt;</t>
  </si>
  <si>
    <t>&lt;&lt;Matter.CustomField.DefendantsFullLegalName &gt;&gt;</t>
  </si>
  <si>
    <t>&lt;&lt; Matter.CustomField.County &gt;&gt;</t>
  </si>
  <si>
    <t>&lt;&lt; Matter.CustomField.OcStreetAddress &gt;&gt;</t>
  </si>
  <si>
    <t>&lt;&lt; Matter.CustomField.OcCityStateZip &gt;&gt;</t>
  </si>
  <si>
    <t>Testing Scenario/Protocol</t>
  </si>
  <si>
    <t>&lt;&lt; TheField.ThatDoesNot.Exist &gt;&gt;</t>
  </si>
  <si>
    <t>Copy Excel Doc From Testing Folder into Upload Folder</t>
  </si>
  <si>
    <t>Copy Blank Word Document into Upload Folder</t>
  </si>
  <si>
    <t>??</t>
  </si>
  <si>
    <t>Notes</t>
  </si>
  <si>
    <r>
      <rPr>
        <i/>
        <sz val="11"/>
        <color theme="1"/>
        <rFont val="Aptos Narrow"/>
        <family val="2"/>
        <scheme val="minor"/>
      </rPr>
      <t>MCS Custom Field 1</t>
    </r>
    <r>
      <rPr>
        <sz val="11"/>
        <color theme="1"/>
        <rFont val="Aptos Narrow"/>
        <family val="2"/>
        <scheme val="minor"/>
      </rPr>
      <t>: 3 Spaces on End of CF (split between lines, 14 CFs Within Template)</t>
    </r>
  </si>
  <si>
    <r>
      <rPr>
        <i/>
        <sz val="11"/>
        <color theme="1"/>
        <rFont val="Aptos Narrow"/>
        <family val="2"/>
        <scheme val="minor"/>
      </rPr>
      <t xml:space="preserve">MCS Custom Field 3: </t>
    </r>
    <r>
      <rPr>
        <sz val="11"/>
        <color theme="1"/>
        <rFont val="Aptos Narrow"/>
        <family val="2"/>
        <scheme val="minor"/>
      </rPr>
      <t>3 Spaces on Both Beg. and End of CF (3 CFs Within Template)</t>
    </r>
  </si>
  <si>
    <r>
      <rPr>
        <i/>
        <sz val="11"/>
        <color theme="1"/>
        <rFont val="Aptos Narrow"/>
        <family val="2"/>
        <scheme val="minor"/>
      </rPr>
      <t>MCS Custom Field 4:</t>
    </r>
    <r>
      <rPr>
        <sz val="11"/>
        <color theme="1"/>
        <rFont val="Aptos Narrow"/>
        <family val="2"/>
        <scheme val="minor"/>
      </rPr>
      <t>No Spaces on End of CF (3 CFs Within Template)</t>
    </r>
  </si>
  <si>
    <r>
      <rPr>
        <i/>
        <sz val="11"/>
        <color theme="1"/>
        <rFont val="Aptos Narrow"/>
        <family val="2"/>
        <scheme val="minor"/>
      </rPr>
      <t>MCS Custom Field 5:</t>
    </r>
    <r>
      <rPr>
        <sz val="11"/>
        <color theme="1"/>
        <rFont val="Aptos Narrow"/>
        <family val="2"/>
        <scheme val="minor"/>
      </rPr>
      <t xml:space="preserve"> No Spaces on Beg. of CF (3 CFs Within Template)</t>
    </r>
  </si>
  <si>
    <r>
      <rPr>
        <i/>
        <sz val="11"/>
        <color theme="1"/>
        <rFont val="Aptos Narrow"/>
        <family val="2"/>
        <scheme val="minor"/>
      </rPr>
      <t>MCS Custom Field 6:</t>
    </r>
    <r>
      <rPr>
        <sz val="11"/>
        <color theme="1"/>
        <rFont val="Aptos Narrow"/>
        <family val="2"/>
        <scheme val="minor"/>
      </rPr>
      <t xml:space="preserve"> No Spaces on Both Beg. And End of CF (3 CFs Within Template)</t>
    </r>
  </si>
  <si>
    <r>
      <rPr>
        <i/>
        <sz val="11"/>
        <color theme="1"/>
        <rFont val="Aptos Narrow"/>
        <family val="2"/>
        <scheme val="minor"/>
      </rPr>
      <t>Inside THF Custom Field 1:</t>
    </r>
    <r>
      <rPr>
        <sz val="11"/>
        <color theme="1"/>
        <rFont val="Aptos Narrow"/>
        <family val="2"/>
        <scheme val="minor"/>
      </rPr>
      <t xml:space="preserve"> Tables (CF in Table, But Also in Paragraph) </t>
    </r>
  </si>
  <si>
    <r>
      <rPr>
        <i/>
        <sz val="11"/>
        <color theme="1"/>
        <rFont val="Aptos Narrow"/>
        <family val="2"/>
        <scheme val="minor"/>
      </rPr>
      <t>Inside THF Custom Field 2:</t>
    </r>
    <r>
      <rPr>
        <sz val="11"/>
        <color theme="1"/>
        <rFont val="Aptos Narrow"/>
        <family val="2"/>
        <scheme val="minor"/>
      </rPr>
      <t xml:space="preserve"> Headers (CF in Header, But Also in Paragraph) </t>
    </r>
  </si>
  <si>
    <r>
      <rPr>
        <i/>
        <sz val="11"/>
        <color theme="1"/>
        <rFont val="Aptos Narrow"/>
        <family val="2"/>
        <scheme val="minor"/>
      </rPr>
      <t xml:space="preserve">Inside THF Custom Field 3: </t>
    </r>
    <r>
      <rPr>
        <sz val="11"/>
        <color theme="1"/>
        <rFont val="Aptos Narrow"/>
        <family val="2"/>
        <scheme val="minor"/>
      </rPr>
      <t>Footers (CF Only in Footer)</t>
    </r>
  </si>
  <si>
    <r>
      <rPr>
        <i/>
        <sz val="11"/>
        <color theme="1"/>
        <rFont val="Aptos Narrow"/>
        <family val="2"/>
        <scheme val="minor"/>
      </rPr>
      <t>MCS Custom Field 7:</t>
    </r>
    <r>
      <rPr>
        <sz val="11"/>
        <color theme="1"/>
        <rFont val="Aptos Narrow"/>
        <family val="2"/>
        <scheme val="minor"/>
      </rPr>
      <t xml:space="preserve"> CF in Uppercase in Template, While Lowercase in Lookuptable</t>
    </r>
  </si>
  <si>
    <t>Templates</t>
  </si>
  <si>
    <t>ExcelDocument_4NonDocxFile_UploadFolder.xlsx</t>
  </si>
  <si>
    <t>Template_UpperLowerCaseTestingScenario.docx</t>
  </si>
  <si>
    <t>TemplateTesting_MixedCase_Spacing_SplitLines_Scenarios.docx</t>
  </si>
  <si>
    <t>TemplateTesting_TableHeaderFooter_Scenario.docx</t>
  </si>
  <si>
    <t>ZeroByteBlankDoc_UploadFolder.docx</t>
  </si>
  <si>
    <t>Expected Results</t>
  </si>
  <si>
    <t>Actual Results</t>
  </si>
  <si>
    <t>Fields Inside Tables / Headers / Footers</t>
  </si>
  <si>
    <t xml:space="preserve">Templates with Abnormal Data Structures </t>
  </si>
  <si>
    <t>Additional Testing Scenarios</t>
  </si>
  <si>
    <t>Mixed Case / Spacing in Custom Fields - Postive Testing</t>
  </si>
  <si>
    <t>Mixed Case / Spacing in Custom Fields - Negative Testing</t>
  </si>
  <si>
    <t>Uppercase/Lower Case Testing Scenario does not follow the Positive/Negative Testing Basis</t>
  </si>
  <si>
    <t>No Custom Field</t>
  </si>
  <si>
    <t>Incorrect File Type</t>
  </si>
  <si>
    <t xml:space="preserve">Zero Bytes File </t>
  </si>
  <si>
    <t>Custom Fields are Updated Successfully with all the same spaces within the Custom Field Itself</t>
  </si>
  <si>
    <t>Custom Fields are NOT Updated Successfully becaue the spaces within the CF within the Templates do not Match the CFs in Lookup Table</t>
  </si>
  <si>
    <t>Custom Fields are Successfully Updated within each testing scenarios table, headers, and footers CF location</t>
  </si>
  <si>
    <t>&lt;&lt;Matter.CustomField.CaseNumber &gt;&gt;</t>
  </si>
  <si>
    <t>&lt;&lt; MATTER.RESPONSIBLEATTORNEY.EMAIL &gt;&gt;</t>
  </si>
  <si>
    <t>&lt;&lt; Matter.ResponsibleAttorney_Change3SpaceEndCF   &gt;&gt;</t>
  </si>
  <si>
    <t>&lt;&lt;   MATTER.CUSTOMFIELD.PLAINTIFFSNAMESHORT_Change3SpaceBegCF &gt;&gt;</t>
  </si>
  <si>
    <t>&lt;&lt;   Matter.CustomField.PlaintiffsFullLegalName_Change3SpaceEndBegCF   &gt;&gt;</t>
  </si>
  <si>
    <t>&lt;&lt; Matter.CustomField.CaseNumber_ChangeNoSpaceEndCF&gt;&gt;</t>
  </si>
  <si>
    <t>&lt;&lt;Matter.CustomField.DefendantsFullLegalName_ChangeNoSpaceBegCF &gt;&gt;</t>
  </si>
  <si>
    <t xml:space="preserve">&lt;&lt;Matter.CustomField.Judge_ChangeNoSpaceEndBegCF&gt;&gt; </t>
  </si>
  <si>
    <r>
      <t xml:space="preserve">MCS Custom Field 2: </t>
    </r>
    <r>
      <rPr>
        <sz val="11"/>
        <color theme="1"/>
        <rFont val="Aptos Narrow"/>
        <family val="2"/>
        <scheme val="minor"/>
      </rPr>
      <t>3 Spaces on Beginning of CF (split between pages,  6 Original CFs Within Template, 1 Test CF)</t>
    </r>
  </si>
  <si>
    <r>
      <rPr>
        <i/>
        <sz val="11"/>
        <color theme="1"/>
        <rFont val="Aptos Narrow"/>
        <family val="2"/>
        <scheme val="minor"/>
      </rPr>
      <t xml:space="preserve">MCS Custom Field 3: </t>
    </r>
    <r>
      <rPr>
        <sz val="11"/>
        <color theme="1"/>
        <rFont val="Aptos Narrow"/>
        <family val="2"/>
        <scheme val="minor"/>
      </rPr>
      <t>3 Spaces on Both Beg. and End of CF (2 Original CFs Within Template, 1 Test CF)</t>
    </r>
  </si>
  <si>
    <r>
      <rPr>
        <i/>
        <sz val="11"/>
        <color theme="1"/>
        <rFont val="Aptos Narrow"/>
        <family val="2"/>
        <scheme val="minor"/>
      </rPr>
      <t>MCS Custom Field 4:</t>
    </r>
    <r>
      <rPr>
        <sz val="11"/>
        <color theme="1"/>
        <rFont val="Aptos Narrow"/>
        <family val="2"/>
        <scheme val="minor"/>
      </rPr>
      <t>No Spaces on End of CF (2 Original CFs Within Template. 1 Test CF)</t>
    </r>
  </si>
  <si>
    <r>
      <rPr>
        <i/>
        <sz val="11"/>
        <color theme="1"/>
        <rFont val="Aptos Narrow"/>
        <family val="2"/>
        <scheme val="minor"/>
      </rPr>
      <t>MCS Custom Field 5:</t>
    </r>
    <r>
      <rPr>
        <sz val="11"/>
        <color theme="1"/>
        <rFont val="Aptos Narrow"/>
        <family val="2"/>
        <scheme val="minor"/>
      </rPr>
      <t xml:space="preserve"> No Spaces on Beg. of CF (2 Original CFs Within Template. 1 Test CF)</t>
    </r>
  </si>
  <si>
    <r>
      <rPr>
        <i/>
        <sz val="11"/>
        <color theme="1"/>
        <rFont val="Aptos Narrow"/>
        <family val="2"/>
        <scheme val="minor"/>
      </rPr>
      <t>MCS Custom Field 6:</t>
    </r>
    <r>
      <rPr>
        <sz val="11"/>
        <color theme="1"/>
        <rFont val="Aptos Narrow"/>
        <family val="2"/>
        <scheme val="minor"/>
      </rPr>
      <t xml:space="preserve"> No Spaces on Both Beg. And End of CF (2 Original CFs Within Template. 1 Test CF)</t>
    </r>
  </si>
  <si>
    <t>&lt;&lt;Matter.CustomField.Judge&gt;&gt;</t>
  </si>
  <si>
    <t>Old Custom Fields in Templates</t>
  </si>
  <si>
    <t>New Custom Fields in Lookup Tables</t>
  </si>
  <si>
    <r>
      <rPr>
        <i/>
        <sz val="11"/>
        <color theme="1"/>
        <rFont val="Aptos Narrow"/>
        <family val="2"/>
        <scheme val="minor"/>
      </rPr>
      <t>MCS Custom Field 1</t>
    </r>
    <r>
      <rPr>
        <sz val="11"/>
        <color theme="1"/>
        <rFont val="Aptos Narrow"/>
        <family val="2"/>
        <scheme val="minor"/>
      </rPr>
      <t xml:space="preserve">: 3 Spaces on End of CF </t>
    </r>
  </si>
  <si>
    <t>&lt;&lt; Date.Verbose   &gt;&gt;</t>
  </si>
  <si>
    <t xml:space="preserve">MCS Custom Field 2: 3 Spaces on Beginning of CF </t>
  </si>
  <si>
    <t>&lt;&lt;   Matter.CustomField.CaseNameLong &gt;&gt;</t>
  </si>
  <si>
    <t>&lt;&lt;   Matter.CustomField.OcStreetAddress   &gt;&gt;</t>
  </si>
  <si>
    <t>&lt;&lt; matter.responsibleattorney.email &gt;&gt;</t>
  </si>
  <si>
    <t>&lt;&lt; Matter.CustomField.OcCityStateZip&gt;&gt;</t>
  </si>
  <si>
    <t>&lt;&lt;Matter.CustomField.CaseNameLong&gt;&gt;</t>
  </si>
  <si>
    <t>Success</t>
  </si>
  <si>
    <t>Purposeply Slightly Incorrect CF Values</t>
  </si>
  <si>
    <t xml:space="preserve">Used to Validate Neg. Testing - If Below Values are Found Neg. Test Unsuccessfull </t>
  </si>
  <si>
    <t>&lt;&lt; Date.Verbose_Change1&gt;&gt;</t>
  </si>
  <si>
    <t>&lt;&lt;   Matter.CustomField.CaseNameLong_Change1 &gt;&gt;</t>
  </si>
  <si>
    <t>&lt;&lt;   Matter.CustomField.OcStreetAddress_Change1   &gt;&gt;</t>
  </si>
  <si>
    <t>&lt;&lt; Matter.CustomField.OcCityStateZip_Change1&gt;&gt;</t>
  </si>
  <si>
    <t>&lt;&lt;Matter.CustomField.CaseNumber_Change1 &gt;&gt;</t>
  </si>
  <si>
    <t>&lt;&lt;Matter.CustomField.CaseNameLong_Change1&gt;&gt;</t>
  </si>
  <si>
    <t>&lt;&lt; matter.responsibleattorney.email_Change1 &gt;&gt;</t>
  </si>
  <si>
    <t xml:space="preserve">Success </t>
  </si>
  <si>
    <t>&lt;&lt; Matter.CustomField.County_Change1 &gt;&gt;</t>
  </si>
  <si>
    <t>&lt;&lt; Matter.CustomField.OcCityStateZip_Change1 &gt;&gt;</t>
  </si>
  <si>
    <t>&lt;&lt; Matter.CustomField.OcStreetAddress_Change1 &gt;&gt;</t>
  </si>
  <si>
    <t>Nothing Happens</t>
  </si>
  <si>
    <r>
      <t xml:space="preserve">Script downloaded the Excel File as a .docx (unable to open) when running Script to Update for an Error --&gt; Need to edit script to either only download .docx files, because we created a corrupted file even if we tried to skip over Update Script trying to then skip over Upload Script is just too much hassel. Final conclusion need to restrict to only download .docx files. - </t>
    </r>
    <r>
      <rPr>
        <b/>
        <sz val="11"/>
        <color theme="1"/>
        <rFont val="Aptos Narrow"/>
        <family val="2"/>
        <scheme val="minor"/>
      </rPr>
      <t>Completed Code Update to Skip Over Non - Word Docs</t>
    </r>
  </si>
  <si>
    <t>Skip Over Non-Word Document</t>
  </si>
  <si>
    <t>After Code Change we now will skip over non-word template documents</t>
  </si>
  <si>
    <t>&lt;&lt; Matter.CustomField.VehicleYear &gt;&gt;</t>
  </si>
  <si>
    <t>Old_Value</t>
  </si>
  <si>
    <t>New_Value</t>
  </si>
  <si>
    <t>&lt;&lt; date.verbose &gt;&gt;</t>
  </si>
  <si>
    <t>&lt;&lt; date.verbose_TESTUPDATE &gt;&gt;</t>
  </si>
  <si>
    <t>&lt;&lt; matter.customfield.casenumber &gt;&gt;</t>
  </si>
  <si>
    <t>&lt;&lt; matter.customfield.casenumber_TESTUPDATE &gt;&gt;</t>
  </si>
  <si>
    <t>&lt;&lt; matter.customfield.county &gt;&gt;</t>
  </si>
  <si>
    <t>&lt;&lt; matter.customfield.county_TESTUPDATE &gt;&gt;</t>
  </si>
  <si>
    <t>&lt;&lt; Matter.CustomField.DefendantsNameShort &gt;&gt;</t>
  </si>
  <si>
    <t>&lt;&lt; Matter.CustomField.DefendantsNameShort_TESTUPDATE &gt;&gt;</t>
  </si>
  <si>
    <t>&lt;&lt; Matter.CustomField.VehicleYear_TESTUPDATE &gt;&gt;</t>
  </si>
  <si>
    <t>&lt;&lt; Matter.CustomField.CourtStreetAddress &gt;&gt;</t>
  </si>
  <si>
    <t>&lt;&lt; Matter.CustomField.CourtStreetAddress_TESTUPDATE &gt;&gt;</t>
  </si>
  <si>
    <t>&lt;&lt;  TestCustomField.Test_TESTUPDATE &gt;&gt;</t>
  </si>
  <si>
    <t>CMS AB</t>
  </si>
  <si>
    <t>CMS NonAB</t>
  </si>
  <si>
    <t>NOD DLR 1</t>
  </si>
  <si>
    <t>NOD DLR 2</t>
  </si>
  <si>
    <t>SUBP No. 2</t>
  </si>
  <si>
    <t>SUBP No. 3</t>
  </si>
  <si>
    <t>Location</t>
  </si>
  <si>
    <t>TextBox</t>
  </si>
  <si>
    <t>Shape</t>
  </si>
  <si>
    <t>Body</t>
  </si>
  <si>
    <t>Footers</t>
  </si>
  <si>
    <t>Headers</t>
  </si>
  <si>
    <t>Count of Custom Fields:</t>
  </si>
  <si>
    <t>&lt;&lt; Test.CustomField &gt;&gt;</t>
  </si>
  <si>
    <t>Count of Updated Custom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</si>
</sst>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8" x14ac:knownFonts="1">
    <font>
      <sz val="11"/>
      <color theme="1"/>
      <name val="Aptos Narrow"/>
      <family val="2"/>
      <scheme val="minor"/>
    </font>
    <font>
      <b/>
      <sz val="11"/>
      <color theme="1"/>
      <name val="Aptos Narrow"/>
      <family val="2"/>
      <scheme val="minor"/>
    </font>
    <font>
      <sz val="11"/>
      <color theme="1"/>
      <name val="Aptos Narrow"/>
      <family val="2"/>
      <scheme val="minor"/>
    </font>
    <font>
      <i/>
      <sz val="11"/>
      <color theme="1"/>
      <name val="Aptos Narrow"/>
      <family val="2"/>
      <scheme val="minor"/>
    </font>
    <font>
      <sz val="12"/>
      <color rgb="FF000000"/>
      <name val="Times New Roman"/>
      <family val="1"/>
    </font>
    <font>
      <b/>
      <sz val="12"/>
      <color theme="1"/>
      <name val="Aptos Narrow"/>
      <family val="2"/>
      <scheme val="minor"/>
    </font>
    <font>
      <b/>
      <i/>
      <sz val="11"/>
      <color theme="1"/>
      <name val="Aptos Narrow"/>
      <family val="2"/>
      <scheme val="minor"/>
    </font>
    <font>
      <b/>
      <sz val="11"/>
      <color theme="0"/>
      <name val="Aptos Narrow"/>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8F8F"/>
        <bgColor indexed="64"/>
      </patternFill>
    </fill>
    <fill>
      <patternFill patternType="solid">
        <fgColor theme="7" tint="0.39997558519241921"/>
        <bgColor indexed="64"/>
      </patternFill>
    </fill>
    <fill>
      <patternFill patternType="solid">
        <fgColor theme="5" tint="0.39997558519241921"/>
        <bgColor indexed="64"/>
      </patternFill>
    </fill>
  </fills>
  <borders count="2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theme="4" tint="0.39997558519241921"/>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theme="4" tint="0.39997558519241921"/>
      </top>
      <bottom style="medium">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diagonal/>
    </border>
  </borders>
  <cellStyleXfs count="1">
    <xf numFmtId="0" fontId="0" fillId="0" borderId="0"/>
  </cellStyleXfs>
  <cellXfs count="109">
    <xf numFmtId="0" fontId="0" fillId="0" borderId="0" xfId="0"/>
    <xf numFmtId="0" fontId="0" fillId="0" borderId="4" xfId="0" applyBorder="1" applyAlignment="1">
      <alignment horizontal="center" vertical="center"/>
    </xf>
    <xf numFmtId="0" fontId="0" fillId="0" borderId="4" xfId="0" applyBorder="1"/>
    <xf numFmtId="0" fontId="0" fillId="0" borderId="5" xfId="0" applyBorder="1" applyAlignment="1">
      <alignment horizontal="center" vertical="center"/>
    </xf>
    <xf numFmtId="0" fontId="0" fillId="0" borderId="5" xfId="0" applyBorder="1"/>
    <xf numFmtId="0" fontId="0" fillId="0" borderId="4" xfId="0" applyBorder="1" applyAlignment="1">
      <alignment vertical="center" wrapText="1"/>
    </xf>
    <xf numFmtId="0" fontId="0" fillId="0" borderId="6" xfId="0" applyBorder="1"/>
    <xf numFmtId="0" fontId="0" fillId="0" borderId="7" xfId="0" applyBorder="1" applyAlignment="1">
      <alignment horizontal="center" vertical="center"/>
    </xf>
    <xf numFmtId="0" fontId="0" fillId="0" borderId="7" xfId="0" applyBorder="1"/>
    <xf numFmtId="0" fontId="0" fillId="0" borderId="7" xfId="0" applyBorder="1" applyAlignment="1">
      <alignment vertical="center"/>
    </xf>
    <xf numFmtId="0" fontId="2" fillId="0" borderId="4" xfId="0" applyFont="1" applyBorder="1" applyAlignment="1">
      <alignment horizontal="left" vertical="center" indent="1"/>
    </xf>
    <xf numFmtId="0" fontId="0" fillId="0" borderId="4" xfId="0" applyBorder="1" applyAlignment="1">
      <alignment horizontal="left" vertical="center" indent="1"/>
    </xf>
    <xf numFmtId="0" fontId="0" fillId="0" borderId="7" xfId="0" applyBorder="1" applyAlignment="1">
      <alignment horizontal="left" vertical="center" wrapText="1" indent="1"/>
    </xf>
    <xf numFmtId="0" fontId="2" fillId="0" borderId="9" xfId="0" applyFont="1" applyBorder="1" applyAlignment="1">
      <alignment horizontal="left" vertical="center" indent="1"/>
    </xf>
    <xf numFmtId="0" fontId="3" fillId="0" borderId="7" xfId="0" applyFont="1" applyBorder="1" applyAlignment="1">
      <alignment horizontal="left" vertical="center" wrapText="1" indent="1"/>
    </xf>
    <xf numFmtId="0" fontId="0" fillId="0" borderId="0" xfId="0" applyAlignment="1">
      <alignment horizontal="center" vertical="center"/>
    </xf>
    <xf numFmtId="0" fontId="2" fillId="0" borderId="10" xfId="0" applyFont="1" applyBorder="1" applyAlignment="1">
      <alignment horizontal="left" vertical="center" indent="1"/>
    </xf>
    <xf numFmtId="0" fontId="2" fillId="0" borderId="7" xfId="0" applyFont="1" applyBorder="1" applyAlignment="1">
      <alignment horizontal="left" vertical="center" indent="1"/>
    </xf>
    <xf numFmtId="0" fontId="0" fillId="0" borderId="11" xfId="0" applyBorder="1" applyAlignment="1">
      <alignment horizontal="left" vertical="center" indent="1"/>
    </xf>
    <xf numFmtId="0" fontId="0" fillId="0" borderId="11" xfId="0" applyBorder="1"/>
    <xf numFmtId="0" fontId="0" fillId="0" borderId="10" xfId="0" applyBorder="1"/>
    <xf numFmtId="0" fontId="0" fillId="0" borderId="5" xfId="0" applyBorder="1" applyAlignment="1">
      <alignment horizontal="left" vertical="center" indent="1"/>
    </xf>
    <xf numFmtId="0" fontId="0" fillId="0" borderId="3" xfId="0" applyBorder="1" applyAlignment="1">
      <alignment horizontal="left" vertical="center" indent="1"/>
    </xf>
    <xf numFmtId="0" fontId="2" fillId="0" borderId="3" xfId="0" applyFont="1" applyBorder="1" applyAlignment="1">
      <alignment horizontal="left" vertical="center" indent="1"/>
    </xf>
    <xf numFmtId="0" fontId="0" fillId="0" borderId="9" xfId="0" applyBorder="1"/>
    <xf numFmtId="0" fontId="0" fillId="5" borderId="14" xfId="0" applyFill="1" applyBorder="1"/>
    <xf numFmtId="0" fontId="0" fillId="5" borderId="15" xfId="0" applyFill="1" applyBorder="1"/>
    <xf numFmtId="0" fontId="0" fillId="0" borderId="16" xfId="0" applyBorder="1"/>
    <xf numFmtId="0" fontId="5" fillId="4" borderId="13" xfId="0" applyFont="1" applyFill="1" applyBorder="1" applyAlignment="1">
      <alignment horizontal="left" vertical="center" indent="1"/>
    </xf>
    <xf numFmtId="0" fontId="0" fillId="4" borderId="14" xfId="0" applyFill="1" applyBorder="1"/>
    <xf numFmtId="0" fontId="0" fillId="4" borderId="15" xfId="0" applyFill="1" applyBorder="1"/>
    <xf numFmtId="0" fontId="0" fillId="2" borderId="2" xfId="0" applyFill="1" applyBorder="1" applyAlignment="1">
      <alignment horizontal="center" vertical="center"/>
    </xf>
    <xf numFmtId="164" fontId="5" fillId="6" borderId="9" xfId="0" applyNumberFormat="1" applyFont="1" applyFill="1" applyBorder="1" applyAlignment="1">
      <alignment horizontal="center" vertical="center"/>
    </xf>
    <xf numFmtId="0" fontId="0" fillId="7" borderId="7" xfId="0" applyFill="1" applyBorder="1" applyAlignment="1">
      <alignment horizontal="left" vertical="center" wrapText="1" indent="1"/>
    </xf>
    <xf numFmtId="0" fontId="0" fillId="7" borderId="2" xfId="0" applyFill="1" applyBorder="1"/>
    <xf numFmtId="164" fontId="5" fillId="6" borderId="1" xfId="0" applyNumberFormat="1" applyFont="1" applyFill="1" applyBorder="1" applyAlignment="1">
      <alignment vertical="center"/>
    </xf>
    <xf numFmtId="164" fontId="5" fillId="6" borderId="9" xfId="0" applyNumberFormat="1" applyFont="1" applyFill="1" applyBorder="1" applyAlignment="1">
      <alignment vertical="center"/>
    </xf>
    <xf numFmtId="164" fontId="5" fillId="6" borderId="11" xfId="0" applyNumberFormat="1" applyFont="1" applyFill="1" applyBorder="1" applyAlignment="1">
      <alignment vertical="center"/>
    </xf>
    <xf numFmtId="164" fontId="5" fillId="6" borderId="12" xfId="0" applyNumberFormat="1" applyFont="1" applyFill="1" applyBorder="1" applyAlignment="1">
      <alignment vertical="center"/>
    </xf>
    <xf numFmtId="0" fontId="0" fillId="4" borderId="18" xfId="0" applyFill="1" applyBorder="1"/>
    <xf numFmtId="0" fontId="0" fillId="5" borderId="1" xfId="0" applyFill="1" applyBorder="1" applyAlignment="1">
      <alignment vertical="center" wrapText="1"/>
    </xf>
    <xf numFmtId="0" fontId="0" fillId="5" borderId="9" xfId="0" applyFill="1" applyBorder="1" applyAlignment="1">
      <alignment vertical="center"/>
    </xf>
    <xf numFmtId="0" fontId="0" fillId="5" borderId="11" xfId="0" applyFill="1" applyBorder="1" applyAlignment="1">
      <alignment vertical="center"/>
    </xf>
    <xf numFmtId="0" fontId="0" fillId="5" borderId="9" xfId="0" applyFill="1" applyBorder="1" applyAlignment="1">
      <alignment vertical="center" wrapText="1"/>
    </xf>
    <xf numFmtId="0" fontId="0" fillId="5" borderId="9" xfId="0" applyFill="1" applyBorder="1" applyAlignment="1">
      <alignment horizontal="center" vertical="center" wrapText="1"/>
    </xf>
    <xf numFmtId="0" fontId="0" fillId="0" borderId="2" xfId="0" applyBorder="1"/>
    <xf numFmtId="0" fontId="0" fillId="0" borderId="8" xfId="0" applyBorder="1"/>
    <xf numFmtId="0" fontId="0" fillId="5" borderId="1" xfId="0" applyFill="1" applyBorder="1"/>
    <xf numFmtId="0" fontId="0" fillId="5" borderId="11" xfId="0" applyFill="1" applyBorder="1"/>
    <xf numFmtId="0" fontId="0" fillId="0" borderId="19" xfId="0" applyBorder="1" applyAlignment="1">
      <alignment horizontal="center" vertical="center"/>
    </xf>
    <xf numFmtId="0" fontId="0" fillId="4" borderId="14" xfId="0" applyFill="1" applyBorder="1" applyAlignment="1">
      <alignment horizontal="center" vertical="center"/>
    </xf>
    <xf numFmtId="0" fontId="0" fillId="0" borderId="17"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5" borderId="13" xfId="0" applyFill="1" applyBorder="1" applyAlignment="1">
      <alignment horizontal="center" vertical="center"/>
    </xf>
    <xf numFmtId="0" fontId="0" fillId="5" borderId="14" xfId="0" applyFill="1" applyBorder="1" applyAlignment="1">
      <alignment horizontal="center" vertical="center"/>
    </xf>
    <xf numFmtId="0" fontId="4" fillId="0" borderId="0" xfId="0" applyFont="1" applyAlignment="1">
      <alignment horizontal="center" vertical="center"/>
    </xf>
    <xf numFmtId="0" fontId="0" fillId="8" borderId="20" xfId="0" applyFill="1" applyBorder="1" applyAlignment="1">
      <alignment horizontal="center" vertical="center"/>
    </xf>
    <xf numFmtId="0" fontId="0" fillId="0" borderId="20" xfId="0"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0" fillId="0" borderId="3" xfId="0" applyBorder="1" applyAlignment="1">
      <alignment horizontal="left" vertical="center" wrapText="1" indent="1"/>
    </xf>
    <xf numFmtId="0" fontId="0" fillId="0" borderId="21" xfId="0" applyBorder="1" applyAlignment="1">
      <alignment horizontal="center" vertical="center"/>
    </xf>
    <xf numFmtId="0" fontId="0" fillId="8" borderId="3" xfId="0" applyFill="1" applyBorder="1" applyAlignment="1">
      <alignment horizontal="center" vertical="center"/>
    </xf>
    <xf numFmtId="0" fontId="0" fillId="0" borderId="3" xfId="0" applyBorder="1" applyAlignment="1">
      <alignment vertical="center"/>
    </xf>
    <xf numFmtId="0" fontId="0" fillId="0" borderId="11" xfId="0" applyBorder="1" applyAlignment="1">
      <alignment horizontal="center" vertical="center"/>
    </xf>
    <xf numFmtId="0" fontId="0" fillId="0" borderId="11" xfId="0" applyBorder="1" applyAlignment="1">
      <alignment vertical="center"/>
    </xf>
    <xf numFmtId="0" fontId="0" fillId="0" borderId="16" xfId="0" applyBorder="1" applyAlignment="1">
      <alignment horizontal="center" vertical="center"/>
    </xf>
    <xf numFmtId="0" fontId="0" fillId="0" borderId="11" xfId="0" applyBorder="1" applyAlignment="1">
      <alignment horizontal="left" vertical="center" wrapText="1" indent="1"/>
    </xf>
    <xf numFmtId="0" fontId="0" fillId="0" borderId="22" xfId="0" applyBorder="1" applyAlignment="1">
      <alignment horizontal="center" vertical="center"/>
    </xf>
    <xf numFmtId="0" fontId="0" fillId="9" borderId="3" xfId="0" applyFill="1" applyBorder="1" applyAlignment="1">
      <alignment horizontal="center" vertical="center"/>
    </xf>
    <xf numFmtId="0" fontId="0" fillId="9" borderId="7" xfId="0" applyFill="1" applyBorder="1" applyAlignment="1">
      <alignment horizontal="center" vertical="center"/>
    </xf>
    <xf numFmtId="0" fontId="6" fillId="10" borderId="2" xfId="0" applyFont="1" applyFill="1" applyBorder="1" applyAlignment="1">
      <alignment horizontal="center" vertical="center"/>
    </xf>
    <xf numFmtId="0" fontId="0" fillId="8" borderId="4" xfId="0" applyFill="1" applyBorder="1" applyAlignment="1">
      <alignment horizontal="center" vertical="center"/>
    </xf>
    <xf numFmtId="0" fontId="0" fillId="0" borderId="6" xfId="0" applyBorder="1" applyAlignment="1">
      <alignment horizontal="left" vertical="center"/>
    </xf>
    <xf numFmtId="0" fontId="0" fillId="0" borderId="9" xfId="0" applyBorder="1" applyAlignment="1">
      <alignment horizontal="center" vertical="center" wrapText="1"/>
    </xf>
    <xf numFmtId="0" fontId="1" fillId="0" borderId="0" xfId="0" applyFont="1" applyAlignment="1">
      <alignment horizontal="center" vertical="center"/>
    </xf>
    <xf numFmtId="0" fontId="6" fillId="0" borderId="2" xfId="0" applyFont="1" applyBorder="1"/>
    <xf numFmtId="0" fontId="1" fillId="11" borderId="13" xfId="0" applyFont="1" applyFill="1" applyBorder="1"/>
    <xf numFmtId="0" fontId="6" fillId="0" borderId="13" xfId="0" applyFont="1" applyBorder="1"/>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 fillId="11" borderId="16" xfId="0" applyFont="1" applyFill="1" applyBorder="1"/>
    <xf numFmtId="0" fontId="0" fillId="0" borderId="13" xfId="0" applyBorder="1"/>
    <xf numFmtId="0" fontId="1" fillId="12" borderId="2" xfId="0" applyFont="1" applyFill="1" applyBorder="1"/>
    <xf numFmtId="0" fontId="1" fillId="12"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11" borderId="11" xfId="0" applyFont="1" applyFill="1" applyBorder="1" applyAlignment="1">
      <alignment horizontal="center" vertical="center"/>
    </xf>
    <xf numFmtId="0" fontId="1" fillId="11" borderId="2" xfId="0" applyFont="1" applyFill="1" applyBorder="1" applyAlignment="1">
      <alignment horizontal="center"/>
    </xf>
    <xf numFmtId="0" fontId="1" fillId="0" borderId="6" xfId="0" applyFont="1" applyFill="1" applyBorder="1"/>
    <xf numFmtId="0" fontId="7" fillId="3" borderId="2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25" xfId="0" applyFont="1" applyFill="1" applyBorder="1"/>
    <xf numFmtId="0" fontId="1" fillId="0" borderId="8" xfId="0" applyFont="1" applyFill="1" applyBorder="1"/>
    <xf numFmtId="0" fontId="1" fillId="0" borderId="2" xfId="0" applyFont="1" applyFill="1" applyBorder="1"/>
    <xf numFmtId="0" fontId="1" fillId="0" borderId="27" xfId="0" applyFont="1" applyFill="1" applyBorder="1"/>
    <xf numFmtId="0" fontId="1" fillId="2" borderId="2" xfId="0" applyFont="1" applyFill="1" applyBorder="1"/>
    <xf numFmtId="0" fontId="1" fillId="0" borderId="2"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19"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26"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23" xfId="0" applyFont="1" applyFill="1" applyBorder="1" applyAlignment="1">
      <alignment horizontal="center" vertical="center"/>
    </xf>
    <xf numFmtId="0" fontId="1" fillId="2" borderId="2" xfId="0" applyFont="1" applyFill="1" applyBorder="1" applyAlignment="1">
      <alignment horizontal="center" vertical="center"/>
    </xf>
  </cellXfs>
  <cellStyles count="1">
    <cellStyle name="Normal" xfId="0" builtinId="0"/>
  </cellStyles>
  <dxfs count="13">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medium">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medium">
          <color indexed="64"/>
        </left>
        <right style="medium">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outline="0">
        <left/>
        <right style="medium">
          <color indexed="64"/>
        </right>
        <top style="thin">
          <color indexed="64"/>
        </top>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3" tint="0.499984740745262"/>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outline="0">
        <bottom style="medium">
          <color indexed="64"/>
        </bottom>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border diagonalUp="0" diagonalDown="0">
        <left style="medium">
          <color indexed="64"/>
        </left>
        <right style="medium">
          <color indexed="64"/>
        </right>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indent="0" justifyLastLine="0" shrinkToFit="0" readingOrder="0"/>
    </dxf>
  </dxfs>
  <tableStyles count="0" defaultTableStyle="TableStyleMedium2" defaultPivotStyle="PivotStyleLight16"/>
  <colors>
    <mruColors>
      <color rgb="FFFF8F8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49AE1-97E4-451E-BF3B-1DE7553D5891}" name="Table1" displayName="Table1" ref="A1:G58" totalsRowShown="0" headerRowDxfId="12">
  <autoFilter ref="A1:G58" xr:uid="{3E649AE1-97E4-451E-BF3B-1DE7553D5891}"/>
  <tableColumns count="7">
    <tableColumn id="1" xr3:uid="{C2E1002A-19BA-4B0C-BF86-9D2D029463A4}" name="Old_Value" dataDxfId="11"/>
    <tableColumn id="3" xr3:uid="{D3150A6E-D425-4799-B9BD-D73C5FB3C4D4}" name="CMS AB"/>
    <tableColumn id="4" xr3:uid="{9236D882-AF3F-44E4-A0B2-3B49D3143B7B}" name="CMS NonAB"/>
    <tableColumn id="5" xr3:uid="{4749057A-4E6C-49C5-9C15-3BDC30DC7313}" name="NOD DLR 1"/>
    <tableColumn id="6" xr3:uid="{7DF7FEBF-1019-4BA4-8A80-571819C75EC3}" name="NOD DLR 2"/>
    <tableColumn id="7" xr3:uid="{4AD0BB5B-A5CC-4D34-9DF1-727641D2B3F2}" name="SUBP No. 2"/>
    <tableColumn id="8" xr3:uid="{3BECB5C8-169B-46F9-9419-BE76075774DB}" name="SUBP No. 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FF134D-EB6C-4D52-AC5E-25EEB94CC3BE}" name="Table2" displayName="Table2" ref="A61:G76" totalsRowShown="0" headerRowDxfId="7" dataDxfId="8" headerRowBorderDxfId="9" tableBorderDxfId="10">
  <autoFilter ref="A61:G76" xr:uid="{42FF134D-EB6C-4D52-AC5E-25EEB94CC3BE}"/>
  <tableColumns count="7">
    <tableColumn id="1" xr3:uid="{592E2A38-FF04-4F3F-A2C2-78ACED892718}" name="New_Value" dataDxfId="6"/>
    <tableColumn id="2" xr3:uid="{5AC991F4-4506-49AD-8160-A926D2D627EA}" name="CMS AB" dataDxfId="5"/>
    <tableColumn id="3" xr3:uid="{4B96BA09-D987-41B3-A865-FB5D5661C325}" name="CMS NonAB" dataDxfId="4">
      <calculatedColumnFormula>SUM(C46:C61)</calculatedColumnFormula>
    </tableColumn>
    <tableColumn id="4" xr3:uid="{EF60D002-0A3B-4119-B3CF-A47BF7EE0BC7}" name="NOD DLR 1" dataDxfId="3">
      <calculatedColumnFormula>SUM(D46:D61)</calculatedColumnFormula>
    </tableColumn>
    <tableColumn id="5" xr3:uid="{AE46A750-45FC-4D44-BE0C-AFEB63A8AA1A}" name="NOD DLR 2" dataDxfId="2">
      <calculatedColumnFormula>SUM(E46:E61)</calculatedColumnFormula>
    </tableColumn>
    <tableColumn id="6" xr3:uid="{5D804218-8B1B-40B3-8110-D60B439C53BD}" name="SUBP No. 2" dataDxfId="1">
      <calculatedColumnFormula>SUM(F46:F61)</calculatedColumnFormula>
    </tableColumn>
    <tableColumn id="7" xr3:uid="{2586582E-6B9D-4C5E-A1C9-8D7F6541ABD1}" name="SUBP No. 3" dataDxfId="0">
      <calculatedColumnFormula>SUM(G46:G61)</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4ABB-CB79-43BB-AA1D-E9B06737D8D9}">
  <dimension ref="A1:G76"/>
  <sheetViews>
    <sheetView workbookViewId="0">
      <pane ySplit="1" topLeftCell="A2" activePane="bottomLeft" state="frozen"/>
      <selection pane="bottomLeft" activeCell="B2" sqref="B2:G2"/>
    </sheetView>
  </sheetViews>
  <sheetFormatPr defaultRowHeight="15" x14ac:dyDescent="0.25"/>
  <cols>
    <col min="1" max="1" width="59.140625" bestFit="1" customWidth="1"/>
    <col min="2" max="2" width="12.42578125" customWidth="1"/>
    <col min="3" max="3" width="16.140625" customWidth="1"/>
    <col min="4" max="5" width="15.42578125" customWidth="1"/>
    <col min="6" max="7" width="15.28515625" customWidth="1"/>
    <col min="8" max="9" width="9.140625" customWidth="1"/>
  </cols>
  <sheetData>
    <row r="1" spans="1:7" ht="15.75" thickBot="1" x14ac:dyDescent="0.3">
      <c r="A1" s="76" t="s">
        <v>91</v>
      </c>
      <c r="B1" s="76" t="s">
        <v>105</v>
      </c>
      <c r="C1" s="76" t="s">
        <v>106</v>
      </c>
      <c r="D1" s="76" t="s">
        <v>107</v>
      </c>
      <c r="E1" s="76" t="s">
        <v>108</v>
      </c>
      <c r="F1" s="76" t="s">
        <v>109</v>
      </c>
      <c r="G1" s="76" t="s">
        <v>110</v>
      </c>
    </row>
    <row r="2" spans="1:7" ht="15.75" thickBot="1" x14ac:dyDescent="0.3">
      <c r="A2" s="78" t="s">
        <v>93</v>
      </c>
      <c r="B2" s="87">
        <v>4</v>
      </c>
      <c r="C2" s="87">
        <v>4</v>
      </c>
      <c r="D2" s="87">
        <v>3</v>
      </c>
      <c r="E2" s="87">
        <v>3</v>
      </c>
      <c r="F2" s="87">
        <v>1</v>
      </c>
      <c r="G2" s="87">
        <v>1</v>
      </c>
    </row>
    <row r="3" spans="1:7" ht="15.75" hidden="1" thickBot="1" x14ac:dyDescent="0.3">
      <c r="A3" s="79" t="s">
        <v>111</v>
      </c>
      <c r="B3" s="80"/>
      <c r="C3" s="81"/>
      <c r="D3" s="81"/>
      <c r="E3" s="81"/>
      <c r="F3" s="81"/>
      <c r="G3" s="82"/>
    </row>
    <row r="4" spans="1:7" hidden="1" x14ac:dyDescent="0.25">
      <c r="A4" s="8" t="s">
        <v>112</v>
      </c>
      <c r="B4" s="7">
        <v>2</v>
      </c>
      <c r="C4" s="7">
        <v>2</v>
      </c>
      <c r="D4" s="7"/>
      <c r="E4" s="7"/>
      <c r="F4" s="7">
        <v>1</v>
      </c>
      <c r="G4" s="7">
        <v>1</v>
      </c>
    </row>
    <row r="5" spans="1:7" hidden="1" x14ac:dyDescent="0.25">
      <c r="A5" s="2" t="s">
        <v>113</v>
      </c>
      <c r="B5" s="1"/>
      <c r="C5" s="1"/>
      <c r="D5" s="1"/>
      <c r="E5" s="1"/>
      <c r="F5" s="1"/>
      <c r="G5" s="1"/>
    </row>
    <row r="6" spans="1:7" hidden="1" x14ac:dyDescent="0.25">
      <c r="A6" s="2" t="s">
        <v>114</v>
      </c>
      <c r="B6" s="1">
        <v>2</v>
      </c>
      <c r="C6" s="1">
        <v>2</v>
      </c>
      <c r="D6" s="1">
        <v>3</v>
      </c>
      <c r="E6" s="1">
        <v>3</v>
      </c>
      <c r="F6" s="1"/>
      <c r="G6" s="1"/>
    </row>
    <row r="7" spans="1:7" hidden="1" x14ac:dyDescent="0.25">
      <c r="A7" s="2" t="s">
        <v>116</v>
      </c>
      <c r="B7" s="1"/>
      <c r="C7" s="1"/>
      <c r="D7" s="1"/>
      <c r="E7" s="1"/>
      <c r="F7" s="1"/>
      <c r="G7" s="1"/>
    </row>
    <row r="8" spans="1:7" ht="15.75" hidden="1" thickBot="1" x14ac:dyDescent="0.3">
      <c r="A8" s="20" t="s">
        <v>115</v>
      </c>
      <c r="B8" s="53"/>
      <c r="C8" s="53"/>
      <c r="D8" s="53"/>
      <c r="E8" s="53"/>
      <c r="F8" s="53"/>
      <c r="G8" s="53"/>
    </row>
    <row r="9" spans="1:7" ht="15.75" thickBot="1" x14ac:dyDescent="0.3">
      <c r="A9" s="84"/>
      <c r="B9" s="81"/>
      <c r="C9" s="81"/>
      <c r="D9" s="81"/>
      <c r="E9" s="81"/>
      <c r="F9" s="81"/>
      <c r="G9" s="82"/>
    </row>
    <row r="10" spans="1:7" ht="15.75" thickBot="1" x14ac:dyDescent="0.3">
      <c r="A10" s="83" t="s">
        <v>95</v>
      </c>
      <c r="B10" s="88">
        <v>6</v>
      </c>
      <c r="C10" s="88">
        <v>6</v>
      </c>
      <c r="D10" s="88">
        <v>1</v>
      </c>
      <c r="E10" s="88">
        <v>1</v>
      </c>
      <c r="F10" s="88">
        <v>2</v>
      </c>
      <c r="G10" s="88">
        <v>2</v>
      </c>
    </row>
    <row r="11" spans="1:7" ht="15.75" hidden="1" thickBot="1" x14ac:dyDescent="0.3">
      <c r="A11" s="77" t="s">
        <v>111</v>
      </c>
      <c r="B11" s="80"/>
      <c r="C11" s="81"/>
      <c r="D11" s="81"/>
      <c r="E11" s="81"/>
      <c r="F11" s="81"/>
      <c r="G11" s="82"/>
    </row>
    <row r="12" spans="1:7" hidden="1" x14ac:dyDescent="0.25">
      <c r="A12" s="8" t="s">
        <v>112</v>
      </c>
      <c r="B12" s="7">
        <v>6</v>
      </c>
      <c r="C12" s="7">
        <v>6</v>
      </c>
      <c r="D12" s="7"/>
      <c r="E12" s="7"/>
      <c r="F12" s="7">
        <v>2</v>
      </c>
      <c r="G12" s="7">
        <v>2</v>
      </c>
    </row>
    <row r="13" spans="1:7" hidden="1" x14ac:dyDescent="0.25">
      <c r="A13" s="2" t="s">
        <v>113</v>
      </c>
      <c r="B13" s="1"/>
      <c r="C13" s="1"/>
      <c r="D13" s="1"/>
      <c r="E13" s="1"/>
      <c r="F13" s="1"/>
      <c r="G13" s="1"/>
    </row>
    <row r="14" spans="1:7" hidden="1" x14ac:dyDescent="0.25">
      <c r="A14" s="2" t="s">
        <v>114</v>
      </c>
      <c r="B14" s="1"/>
      <c r="C14" s="1"/>
      <c r="D14" s="1">
        <v>1</v>
      </c>
      <c r="E14" s="1">
        <v>1</v>
      </c>
      <c r="F14" s="1"/>
      <c r="G14" s="1"/>
    </row>
    <row r="15" spans="1:7" hidden="1" x14ac:dyDescent="0.25">
      <c r="A15" s="2" t="s">
        <v>116</v>
      </c>
      <c r="B15" s="1"/>
      <c r="C15" s="1"/>
      <c r="D15" s="1"/>
      <c r="E15" s="1"/>
      <c r="F15" s="1"/>
      <c r="G15" s="1"/>
    </row>
    <row r="16" spans="1:7" ht="15.75" hidden="1" thickBot="1" x14ac:dyDescent="0.3">
      <c r="A16" s="20" t="s">
        <v>115</v>
      </c>
      <c r="B16" s="53"/>
      <c r="C16" s="53"/>
      <c r="D16" s="53"/>
      <c r="E16" s="53"/>
      <c r="F16" s="53"/>
      <c r="G16" s="53"/>
    </row>
    <row r="17" spans="1:7" ht="15.75" thickBot="1" x14ac:dyDescent="0.3">
      <c r="A17" s="84"/>
      <c r="B17" s="81"/>
      <c r="C17" s="81"/>
      <c r="D17" s="81"/>
      <c r="E17" s="81"/>
      <c r="F17" s="81"/>
      <c r="G17" s="82"/>
    </row>
    <row r="18" spans="1:7" ht="15.75" thickBot="1" x14ac:dyDescent="0.3">
      <c r="A18" s="78" t="s">
        <v>97</v>
      </c>
      <c r="B18" s="87">
        <v>2</v>
      </c>
      <c r="C18" s="87">
        <v>2</v>
      </c>
      <c r="D18" s="87">
        <v>1</v>
      </c>
      <c r="E18" s="87">
        <v>1</v>
      </c>
      <c r="F18" s="87">
        <v>1</v>
      </c>
      <c r="G18" s="87">
        <v>1</v>
      </c>
    </row>
    <row r="19" spans="1:7" ht="15.75" hidden="1" thickBot="1" x14ac:dyDescent="0.3">
      <c r="A19" s="77" t="s">
        <v>111</v>
      </c>
      <c r="B19" s="80"/>
      <c r="C19" s="81"/>
      <c r="D19" s="81"/>
      <c r="E19" s="81"/>
      <c r="F19" s="81"/>
      <c r="G19" s="82"/>
    </row>
    <row r="20" spans="1:7" hidden="1" x14ac:dyDescent="0.25">
      <c r="A20" s="8" t="s">
        <v>112</v>
      </c>
      <c r="B20" s="7">
        <v>2</v>
      </c>
      <c r="C20" s="7">
        <v>2</v>
      </c>
      <c r="D20" s="7"/>
      <c r="E20" s="7"/>
      <c r="F20" s="7">
        <v>1</v>
      </c>
      <c r="G20" s="7">
        <v>1</v>
      </c>
    </row>
    <row r="21" spans="1:7" hidden="1" x14ac:dyDescent="0.25">
      <c r="A21" s="2" t="s">
        <v>113</v>
      </c>
      <c r="B21" s="1"/>
      <c r="C21" s="1"/>
      <c r="D21" s="1"/>
      <c r="E21" s="1"/>
      <c r="F21" s="1"/>
      <c r="G21" s="1"/>
    </row>
    <row r="22" spans="1:7" hidden="1" x14ac:dyDescent="0.25">
      <c r="A22" s="2" t="s">
        <v>114</v>
      </c>
      <c r="B22" s="1"/>
      <c r="C22" s="1"/>
      <c r="D22" s="1">
        <v>1</v>
      </c>
      <c r="E22" s="1">
        <v>1</v>
      </c>
      <c r="F22" s="1"/>
      <c r="G22" s="1"/>
    </row>
    <row r="23" spans="1:7" hidden="1" x14ac:dyDescent="0.25">
      <c r="A23" s="2" t="s">
        <v>116</v>
      </c>
      <c r="B23" s="1"/>
      <c r="C23" s="1"/>
      <c r="D23" s="1"/>
      <c r="E23" s="1"/>
      <c r="F23" s="1"/>
      <c r="G23" s="1"/>
    </row>
    <row r="24" spans="1:7" ht="15.75" hidden="1" thickBot="1" x14ac:dyDescent="0.3">
      <c r="A24" s="20" t="s">
        <v>115</v>
      </c>
      <c r="B24" s="53"/>
      <c r="C24" s="53"/>
      <c r="D24" s="53"/>
      <c r="E24" s="53"/>
      <c r="F24" s="53"/>
      <c r="G24" s="53"/>
    </row>
    <row r="25" spans="1:7" ht="15.75" thickBot="1" x14ac:dyDescent="0.3">
      <c r="A25" s="84"/>
      <c r="B25" s="81"/>
      <c r="C25" s="81"/>
      <c r="D25" s="81"/>
      <c r="E25" s="81"/>
      <c r="F25" s="81"/>
      <c r="G25" s="82"/>
    </row>
    <row r="26" spans="1:7" ht="15.75" thickBot="1" x14ac:dyDescent="0.3">
      <c r="A26" s="78" t="s">
        <v>99</v>
      </c>
      <c r="B26" s="87">
        <v>6</v>
      </c>
      <c r="C26" s="89">
        <v>6</v>
      </c>
      <c r="D26" s="87">
        <v>0</v>
      </c>
      <c r="E26" s="87">
        <v>0</v>
      </c>
      <c r="F26" s="87">
        <v>2</v>
      </c>
      <c r="G26" s="87">
        <v>2</v>
      </c>
    </row>
    <row r="27" spans="1:7" ht="15.75" hidden="1" thickBot="1" x14ac:dyDescent="0.3">
      <c r="A27" s="77" t="s">
        <v>111</v>
      </c>
      <c r="B27" s="80"/>
      <c r="C27" s="81"/>
      <c r="D27" s="81"/>
      <c r="E27" s="81"/>
      <c r="F27" s="81"/>
      <c r="G27" s="82"/>
    </row>
    <row r="28" spans="1:7" hidden="1" x14ac:dyDescent="0.25">
      <c r="A28" s="8" t="s">
        <v>112</v>
      </c>
      <c r="B28" s="7">
        <v>6</v>
      </c>
      <c r="C28" s="7">
        <v>6</v>
      </c>
      <c r="D28" s="7"/>
      <c r="E28" s="7"/>
      <c r="F28" s="7">
        <v>2</v>
      </c>
      <c r="G28" s="7">
        <v>2</v>
      </c>
    </row>
    <row r="29" spans="1:7" hidden="1" x14ac:dyDescent="0.25">
      <c r="A29" s="2" t="s">
        <v>113</v>
      </c>
      <c r="B29" s="1"/>
      <c r="C29" s="1"/>
      <c r="D29" s="1"/>
      <c r="E29" s="1"/>
      <c r="F29" s="1"/>
      <c r="G29" s="1"/>
    </row>
    <row r="30" spans="1:7" hidden="1" x14ac:dyDescent="0.25">
      <c r="A30" s="2" t="s">
        <v>114</v>
      </c>
      <c r="B30" s="1"/>
      <c r="C30" s="1"/>
      <c r="D30" s="1"/>
      <c r="E30" s="1"/>
      <c r="F30" s="1"/>
      <c r="G30" s="1"/>
    </row>
    <row r="31" spans="1:7" hidden="1" x14ac:dyDescent="0.25">
      <c r="A31" s="2" t="s">
        <v>116</v>
      </c>
      <c r="B31" s="1"/>
      <c r="C31" s="1"/>
      <c r="D31" s="1"/>
      <c r="E31" s="1"/>
      <c r="F31" s="1"/>
      <c r="G31" s="1"/>
    </row>
    <row r="32" spans="1:7" ht="15.75" hidden="1" thickBot="1" x14ac:dyDescent="0.3">
      <c r="A32" s="4" t="s">
        <v>115</v>
      </c>
      <c r="B32" s="3"/>
      <c r="C32" s="3"/>
      <c r="D32" s="3"/>
      <c r="E32" s="3"/>
      <c r="F32" s="3"/>
      <c r="G32" s="3"/>
    </row>
    <row r="33" spans="1:7" ht="15.75" thickBot="1" x14ac:dyDescent="0.3">
      <c r="A33" s="84"/>
      <c r="B33" s="81"/>
      <c r="C33" s="81"/>
      <c r="D33" s="81"/>
      <c r="E33" s="81"/>
      <c r="F33" s="81"/>
      <c r="G33" s="82"/>
    </row>
    <row r="34" spans="1:7" ht="15.75" thickBot="1" x14ac:dyDescent="0.3">
      <c r="A34" s="78" t="s">
        <v>90</v>
      </c>
      <c r="B34" s="87">
        <v>0</v>
      </c>
      <c r="C34" s="87">
        <v>0</v>
      </c>
      <c r="D34" s="87">
        <v>1</v>
      </c>
      <c r="E34" s="87">
        <v>1</v>
      </c>
      <c r="F34" s="87">
        <v>0</v>
      </c>
      <c r="G34" s="87">
        <v>0</v>
      </c>
    </row>
    <row r="35" spans="1:7" ht="15.75" hidden="1" thickBot="1" x14ac:dyDescent="0.3">
      <c r="A35" s="77" t="s">
        <v>111</v>
      </c>
      <c r="B35" s="80"/>
      <c r="C35" s="81"/>
      <c r="D35" s="81"/>
      <c r="E35" s="81"/>
      <c r="F35" s="81"/>
      <c r="G35" s="82"/>
    </row>
    <row r="36" spans="1:7" hidden="1" x14ac:dyDescent="0.25">
      <c r="A36" s="8" t="s">
        <v>112</v>
      </c>
      <c r="B36" s="7"/>
      <c r="C36" s="7"/>
      <c r="D36" s="7"/>
      <c r="E36" s="7"/>
      <c r="F36" s="7"/>
      <c r="G36" s="7"/>
    </row>
    <row r="37" spans="1:7" hidden="1" x14ac:dyDescent="0.25">
      <c r="A37" s="2" t="s">
        <v>113</v>
      </c>
      <c r="B37" s="1"/>
      <c r="C37" s="1"/>
      <c r="D37" s="1"/>
      <c r="E37" s="1"/>
      <c r="F37" s="1"/>
      <c r="G37" s="1"/>
    </row>
    <row r="38" spans="1:7" hidden="1" x14ac:dyDescent="0.25">
      <c r="A38" s="2" t="s">
        <v>114</v>
      </c>
      <c r="B38" s="1"/>
      <c r="C38" s="1"/>
      <c r="D38" s="1">
        <v>1</v>
      </c>
      <c r="E38" s="1">
        <v>1</v>
      </c>
      <c r="F38" s="1"/>
      <c r="G38" s="1"/>
    </row>
    <row r="39" spans="1:7" hidden="1" x14ac:dyDescent="0.25">
      <c r="A39" s="2" t="s">
        <v>116</v>
      </c>
      <c r="B39" s="1"/>
      <c r="C39" s="1"/>
      <c r="D39" s="1"/>
      <c r="E39" s="1"/>
      <c r="F39" s="1"/>
      <c r="G39" s="1"/>
    </row>
    <row r="40" spans="1:7" ht="15.75" hidden="1" thickBot="1" x14ac:dyDescent="0.3">
      <c r="A40" s="4" t="s">
        <v>115</v>
      </c>
      <c r="B40" s="3"/>
      <c r="C40" s="3"/>
      <c r="D40" s="3"/>
      <c r="E40" s="3"/>
      <c r="F40" s="3"/>
      <c r="G40" s="3"/>
    </row>
    <row r="41" spans="1:7" ht="15.75" thickBot="1" x14ac:dyDescent="0.3">
      <c r="A41" s="84"/>
      <c r="B41" s="81"/>
      <c r="C41" s="81"/>
      <c r="D41" s="81"/>
      <c r="E41" s="81"/>
      <c r="F41" s="81"/>
      <c r="G41" s="82"/>
    </row>
    <row r="42" spans="1:7" ht="15.75" thickBot="1" x14ac:dyDescent="0.3">
      <c r="A42" s="78" t="s">
        <v>102</v>
      </c>
      <c r="B42" s="87">
        <v>4</v>
      </c>
      <c r="C42" s="87">
        <v>4</v>
      </c>
      <c r="D42" s="87">
        <v>0</v>
      </c>
      <c r="E42" s="87">
        <v>0</v>
      </c>
      <c r="F42" s="87">
        <v>2</v>
      </c>
      <c r="G42" s="87">
        <v>2</v>
      </c>
    </row>
    <row r="43" spans="1:7" ht="15.75" hidden="1" thickBot="1" x14ac:dyDescent="0.3">
      <c r="A43" s="77" t="s">
        <v>111</v>
      </c>
      <c r="B43" s="80"/>
      <c r="C43" s="81"/>
      <c r="D43" s="81"/>
      <c r="E43" s="81"/>
      <c r="F43" s="81"/>
      <c r="G43" s="82"/>
    </row>
    <row r="44" spans="1:7" hidden="1" x14ac:dyDescent="0.25">
      <c r="A44" s="8" t="s">
        <v>112</v>
      </c>
      <c r="B44" s="7">
        <v>4</v>
      </c>
      <c r="C44" s="7">
        <v>4</v>
      </c>
      <c r="D44" s="7"/>
      <c r="E44" s="7"/>
      <c r="F44" s="7">
        <v>2</v>
      </c>
      <c r="G44" s="7">
        <v>2</v>
      </c>
    </row>
    <row r="45" spans="1:7" hidden="1" x14ac:dyDescent="0.25">
      <c r="A45" s="2" t="s">
        <v>113</v>
      </c>
      <c r="B45" s="1"/>
      <c r="C45" s="1"/>
      <c r="D45" s="1"/>
      <c r="E45" s="1"/>
      <c r="F45" s="1"/>
      <c r="G45" s="1"/>
    </row>
    <row r="46" spans="1:7" hidden="1" x14ac:dyDescent="0.25">
      <c r="A46" s="2" t="s">
        <v>114</v>
      </c>
      <c r="B46" s="1"/>
      <c r="C46" s="1"/>
      <c r="D46" s="1"/>
      <c r="E46" s="1"/>
      <c r="F46" s="1"/>
      <c r="G46" s="1"/>
    </row>
    <row r="47" spans="1:7" hidden="1" x14ac:dyDescent="0.25">
      <c r="A47" s="2" t="s">
        <v>116</v>
      </c>
      <c r="B47" s="1"/>
      <c r="C47" s="1"/>
      <c r="D47" s="1"/>
      <c r="E47" s="1"/>
      <c r="F47" s="1"/>
      <c r="G47" s="1"/>
    </row>
    <row r="48" spans="1:7" ht="15.75" hidden="1" thickBot="1" x14ac:dyDescent="0.3">
      <c r="A48" s="20" t="s">
        <v>115</v>
      </c>
      <c r="B48" s="53"/>
      <c r="C48" s="53"/>
      <c r="D48" s="53"/>
      <c r="E48" s="53"/>
      <c r="F48" s="53"/>
      <c r="G48" s="53"/>
    </row>
    <row r="49" spans="1:7" ht="15.75" thickBot="1" x14ac:dyDescent="0.3">
      <c r="A49" s="84"/>
      <c r="B49" s="81"/>
      <c r="C49" s="81"/>
      <c r="D49" s="81"/>
      <c r="E49" s="81"/>
      <c r="F49" s="81"/>
      <c r="G49" s="82"/>
    </row>
    <row r="50" spans="1:7" ht="15.75" thickBot="1" x14ac:dyDescent="0.3">
      <c r="A50" s="78" t="s">
        <v>118</v>
      </c>
      <c r="B50" s="87"/>
      <c r="C50" s="87"/>
      <c r="D50" s="87"/>
      <c r="E50" s="87"/>
      <c r="F50" s="87">
        <v>1</v>
      </c>
      <c r="G50" s="87">
        <v>1</v>
      </c>
    </row>
    <row r="51" spans="1:7" ht="15.75" hidden="1" thickBot="1" x14ac:dyDescent="0.3">
      <c r="A51" s="77" t="s">
        <v>111</v>
      </c>
      <c r="B51" s="80"/>
      <c r="C51" s="81"/>
      <c r="D51" s="81"/>
      <c r="E51" s="81"/>
      <c r="F51" s="81"/>
      <c r="G51" s="82"/>
    </row>
    <row r="52" spans="1:7" hidden="1" x14ac:dyDescent="0.25">
      <c r="A52" s="8" t="s">
        <v>112</v>
      </c>
      <c r="B52" s="7"/>
      <c r="C52" s="7"/>
      <c r="D52" s="7"/>
      <c r="E52" s="7"/>
      <c r="F52" s="7">
        <v>1</v>
      </c>
      <c r="G52" s="7">
        <v>1</v>
      </c>
    </row>
    <row r="53" spans="1:7" hidden="1" x14ac:dyDescent="0.25">
      <c r="A53" s="2" t="s">
        <v>113</v>
      </c>
      <c r="B53" s="1"/>
      <c r="C53" s="1"/>
      <c r="D53" s="1"/>
      <c r="E53" s="1"/>
      <c r="F53" s="1"/>
      <c r="G53" s="1"/>
    </row>
    <row r="54" spans="1:7" hidden="1" x14ac:dyDescent="0.25">
      <c r="A54" s="2" t="s">
        <v>114</v>
      </c>
      <c r="B54" s="1"/>
      <c r="C54" s="1"/>
      <c r="D54" s="1"/>
      <c r="E54" s="1"/>
      <c r="F54" s="1"/>
      <c r="G54" s="1"/>
    </row>
    <row r="55" spans="1:7" hidden="1" x14ac:dyDescent="0.25">
      <c r="A55" s="2" t="s">
        <v>116</v>
      </c>
      <c r="B55" s="1"/>
      <c r="C55" s="1"/>
      <c r="D55" s="1"/>
      <c r="E55" s="1"/>
      <c r="F55" s="1"/>
      <c r="G55" s="1"/>
    </row>
    <row r="56" spans="1:7" ht="15.75" hidden="1" thickBot="1" x14ac:dyDescent="0.3">
      <c r="A56" s="20" t="s">
        <v>115</v>
      </c>
      <c r="B56" s="53"/>
      <c r="C56" s="53"/>
      <c r="D56" s="53"/>
      <c r="E56" s="53"/>
      <c r="F56" s="53"/>
      <c r="G56" s="53"/>
    </row>
    <row r="57" spans="1:7" ht="15.75" thickBot="1" x14ac:dyDescent="0.3">
      <c r="A57" s="84"/>
      <c r="B57" s="81"/>
      <c r="C57" s="81"/>
      <c r="D57" s="81"/>
      <c r="E57" s="81"/>
      <c r="F57" s="81"/>
      <c r="G57" s="82"/>
    </row>
    <row r="58" spans="1:7" ht="15.75" thickBot="1" x14ac:dyDescent="0.3">
      <c r="A58" s="85" t="s">
        <v>117</v>
      </c>
      <c r="B58" s="86">
        <f>SUM(B50,B42,B34,B26,B18,B10,B2)</f>
        <v>22</v>
      </c>
      <c r="C58" s="86">
        <f>SUM(C50,C42,C34,C26,C18,C10,C2)</f>
        <v>22</v>
      </c>
      <c r="D58" s="86">
        <f>SUM(D50,D42,D34,D26,D18,D10,D2)</f>
        <v>6</v>
      </c>
      <c r="E58" s="86">
        <f>SUM(E50,E42,E34,E26,E18,E10,E2)</f>
        <v>6</v>
      </c>
      <c r="F58" s="86">
        <f>SUM(F50,F42,F34,F26,F18,F10,F2)</f>
        <v>9</v>
      </c>
      <c r="G58" s="86">
        <f>SUM(G50,G42,G34,G26,G18,G10,G2)</f>
        <v>9</v>
      </c>
    </row>
    <row r="61" spans="1:7" ht="15.75" thickBot="1" x14ac:dyDescent="0.3">
      <c r="A61" s="91" t="s">
        <v>92</v>
      </c>
      <c r="B61" s="92" t="s">
        <v>105</v>
      </c>
      <c r="C61" s="92" t="s">
        <v>106</v>
      </c>
      <c r="D61" s="92" t="s">
        <v>107</v>
      </c>
      <c r="E61" s="92" t="s">
        <v>108</v>
      </c>
      <c r="F61" s="92" t="s">
        <v>109</v>
      </c>
      <c r="G61" s="93" t="s">
        <v>110</v>
      </c>
    </row>
    <row r="62" spans="1:7" ht="15.75" thickBot="1" x14ac:dyDescent="0.3">
      <c r="A62" s="96" t="s">
        <v>94</v>
      </c>
      <c r="B62" s="99">
        <v>4</v>
      </c>
      <c r="C62" s="99">
        <v>4</v>
      </c>
      <c r="D62" s="99">
        <v>3</v>
      </c>
      <c r="E62" s="99">
        <v>3</v>
      </c>
      <c r="F62" s="99">
        <v>1</v>
      </c>
      <c r="G62" s="99">
        <v>1</v>
      </c>
    </row>
    <row r="63" spans="1:7" ht="15.75" thickBot="1" x14ac:dyDescent="0.3">
      <c r="A63" s="95"/>
      <c r="B63" s="100"/>
      <c r="C63" s="100"/>
      <c r="D63" s="100"/>
      <c r="E63" s="100"/>
      <c r="F63" s="100"/>
      <c r="G63" s="101"/>
    </row>
    <row r="64" spans="1:7" ht="15.75" thickBot="1" x14ac:dyDescent="0.3">
      <c r="A64" s="96" t="s">
        <v>96</v>
      </c>
      <c r="B64" s="99">
        <v>6</v>
      </c>
      <c r="C64" s="99">
        <v>6</v>
      </c>
      <c r="D64" s="99">
        <v>1</v>
      </c>
      <c r="E64" s="99">
        <v>1</v>
      </c>
      <c r="F64" s="99">
        <v>2</v>
      </c>
      <c r="G64" s="99">
        <v>2</v>
      </c>
    </row>
    <row r="65" spans="1:7" ht="15.75" thickBot="1" x14ac:dyDescent="0.3">
      <c r="A65" s="90"/>
      <c r="B65" s="102"/>
      <c r="C65" s="102"/>
      <c r="D65" s="102"/>
      <c r="E65" s="102"/>
      <c r="F65" s="102"/>
      <c r="G65" s="103"/>
    </row>
    <row r="66" spans="1:7" ht="15.75" thickBot="1" x14ac:dyDescent="0.3">
      <c r="A66" s="96" t="s">
        <v>98</v>
      </c>
      <c r="B66" s="99">
        <v>2</v>
      </c>
      <c r="C66" s="99">
        <v>2</v>
      </c>
      <c r="D66" s="99">
        <v>1</v>
      </c>
      <c r="E66" s="99">
        <v>1</v>
      </c>
      <c r="F66" s="99">
        <v>1</v>
      </c>
      <c r="G66" s="99">
        <v>1</v>
      </c>
    </row>
    <row r="67" spans="1:7" ht="15.75" thickBot="1" x14ac:dyDescent="0.3">
      <c r="A67" s="94"/>
      <c r="B67" s="104"/>
      <c r="C67" s="104"/>
      <c r="D67" s="104"/>
      <c r="E67" s="104"/>
      <c r="F67" s="104"/>
      <c r="G67" s="105"/>
    </row>
    <row r="68" spans="1:7" ht="15.75" thickBot="1" x14ac:dyDescent="0.3">
      <c r="A68" s="96" t="s">
        <v>100</v>
      </c>
      <c r="B68" s="99">
        <v>6</v>
      </c>
      <c r="C68" s="99">
        <v>6</v>
      </c>
      <c r="D68" s="99">
        <v>0</v>
      </c>
      <c r="E68" s="99">
        <v>0</v>
      </c>
      <c r="F68" s="99">
        <v>2</v>
      </c>
      <c r="G68" s="99">
        <v>2</v>
      </c>
    </row>
    <row r="69" spans="1:7" ht="15.75" thickBot="1" x14ac:dyDescent="0.3">
      <c r="A69" s="97"/>
      <c r="B69" s="106"/>
      <c r="C69" s="106"/>
      <c r="D69" s="106"/>
      <c r="E69" s="106"/>
      <c r="F69" s="106"/>
      <c r="G69" s="107"/>
    </row>
    <row r="70" spans="1:7" ht="15.75" thickBot="1" x14ac:dyDescent="0.3">
      <c r="A70" s="96" t="s">
        <v>101</v>
      </c>
      <c r="B70" s="99">
        <v>0</v>
      </c>
      <c r="C70" s="99">
        <v>0</v>
      </c>
      <c r="D70" s="99">
        <v>1</v>
      </c>
      <c r="E70" s="99">
        <v>1</v>
      </c>
      <c r="F70" s="99">
        <v>0</v>
      </c>
      <c r="G70" s="99">
        <v>0</v>
      </c>
    </row>
    <row r="71" spans="1:7" ht="15.75" thickBot="1" x14ac:dyDescent="0.3">
      <c r="A71" s="97"/>
      <c r="B71" s="106"/>
      <c r="C71" s="106"/>
      <c r="D71" s="106"/>
      <c r="E71" s="106"/>
      <c r="F71" s="106"/>
      <c r="G71" s="107"/>
    </row>
    <row r="72" spans="1:7" ht="15.75" thickBot="1" x14ac:dyDescent="0.3">
      <c r="A72" s="96" t="s">
        <v>103</v>
      </c>
      <c r="B72" s="99">
        <v>4</v>
      </c>
      <c r="C72" s="99">
        <v>4</v>
      </c>
      <c r="D72" s="99">
        <v>0</v>
      </c>
      <c r="E72" s="99">
        <v>0</v>
      </c>
      <c r="F72" s="99">
        <v>2</v>
      </c>
      <c r="G72" s="99">
        <v>2</v>
      </c>
    </row>
    <row r="73" spans="1:7" ht="15.75" thickBot="1" x14ac:dyDescent="0.3">
      <c r="A73" s="97"/>
      <c r="B73" s="106"/>
      <c r="C73" s="106"/>
      <c r="D73" s="106"/>
      <c r="E73" s="106"/>
      <c r="F73" s="106"/>
      <c r="G73" s="107"/>
    </row>
    <row r="74" spans="1:7" ht="15.75" thickBot="1" x14ac:dyDescent="0.3">
      <c r="A74" s="96" t="s">
        <v>104</v>
      </c>
      <c r="B74" s="99">
        <v>0</v>
      </c>
      <c r="C74" s="99">
        <v>0</v>
      </c>
      <c r="D74" s="99">
        <v>0</v>
      </c>
      <c r="E74" s="99">
        <v>0</v>
      </c>
      <c r="F74" s="99">
        <v>1</v>
      </c>
      <c r="G74" s="99">
        <v>1</v>
      </c>
    </row>
    <row r="75" spans="1:7" ht="15.75" thickBot="1" x14ac:dyDescent="0.3">
      <c r="A75" s="97"/>
      <c r="B75" s="106"/>
      <c r="C75" s="106"/>
      <c r="D75" s="106"/>
      <c r="E75" s="106"/>
      <c r="F75" s="106"/>
      <c r="G75" s="107"/>
    </row>
    <row r="76" spans="1:7" ht="15.75" thickBot="1" x14ac:dyDescent="0.3">
      <c r="A76" s="98" t="s">
        <v>119</v>
      </c>
      <c r="B76" s="108">
        <f>SUM(B62:B75)</f>
        <v>22</v>
      </c>
      <c r="C76" s="108">
        <f>SUM(C62:C75)</f>
        <v>22</v>
      </c>
      <c r="D76" s="108">
        <f>SUM(D62:D75)</f>
        <v>6</v>
      </c>
      <c r="E76" s="108">
        <f>SUM(E62:E75)</f>
        <v>6</v>
      </c>
      <c r="F76" s="108">
        <f>SUM(F62:F75)</f>
        <v>9</v>
      </c>
      <c r="G76" s="108">
        <f>SUM(G62:G75)</f>
        <v>9</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2E04-EE71-4EEA-BC46-ACCE4253F69D}">
  <dimension ref="A1:H39"/>
  <sheetViews>
    <sheetView tabSelected="1" workbookViewId="0">
      <pane xSplit="2" ySplit="2" topLeftCell="C15" activePane="bottomRight" state="frozen"/>
      <selection pane="topRight" activeCell="C1" sqref="C1"/>
      <selection pane="bottomLeft" activeCell="A3" sqref="A3"/>
      <selection pane="bottomRight" activeCell="B4" sqref="B4"/>
    </sheetView>
  </sheetViews>
  <sheetFormatPr defaultRowHeight="15" x14ac:dyDescent="0.25"/>
  <cols>
    <col min="1" max="1" width="2.5703125" bestFit="1" customWidth="1"/>
    <col min="2" max="2" width="82.85546875" customWidth="1"/>
    <col min="3" max="3" width="58.85546875" style="15" customWidth="1"/>
    <col min="4" max="4" width="53.42578125" style="15" bestFit="1" customWidth="1"/>
    <col min="5" max="5" width="74.140625" style="15" bestFit="1" customWidth="1"/>
    <col min="6" max="6" width="48.5703125" customWidth="1"/>
    <col min="7" max="7" width="51.7109375" customWidth="1"/>
    <col min="8" max="8" width="94.7109375" customWidth="1"/>
  </cols>
  <sheetData>
    <row r="1" spans="1:8" s="15" customFormat="1" ht="26.25" customHeight="1" thickBot="1" x14ac:dyDescent="0.3">
      <c r="A1" s="31"/>
      <c r="B1" s="59" t="s">
        <v>13</v>
      </c>
      <c r="C1" s="60" t="s">
        <v>28</v>
      </c>
      <c r="D1" s="60" t="s">
        <v>62</v>
      </c>
      <c r="E1" s="60" t="s">
        <v>63</v>
      </c>
      <c r="F1" s="60" t="s">
        <v>34</v>
      </c>
      <c r="G1" s="60" t="s">
        <v>35</v>
      </c>
      <c r="H1" s="60" t="s">
        <v>18</v>
      </c>
    </row>
    <row r="2" spans="1:8" ht="16.5" thickBot="1" x14ac:dyDescent="0.3">
      <c r="A2" s="35"/>
      <c r="B2" s="28" t="s">
        <v>39</v>
      </c>
      <c r="C2" s="50"/>
      <c r="D2" s="50"/>
      <c r="E2" s="50"/>
      <c r="F2" s="39"/>
      <c r="G2" s="29"/>
      <c r="H2" s="30"/>
    </row>
    <row r="3" spans="1:8" ht="30" x14ac:dyDescent="0.25">
      <c r="A3" s="36"/>
      <c r="B3" s="61" t="s">
        <v>19</v>
      </c>
      <c r="C3" s="62" t="s">
        <v>31</v>
      </c>
      <c r="D3" s="70" t="s">
        <v>7</v>
      </c>
      <c r="E3" s="63" t="s">
        <v>50</v>
      </c>
      <c r="F3" s="40"/>
      <c r="G3" s="64" t="s">
        <v>72</v>
      </c>
      <c r="H3" s="64"/>
    </row>
    <row r="4" spans="1:8" ht="30" x14ac:dyDescent="0.25">
      <c r="A4" s="36"/>
      <c r="B4" s="14" t="s">
        <v>56</v>
      </c>
      <c r="C4" s="51" t="s">
        <v>31</v>
      </c>
      <c r="D4" s="7" t="s">
        <v>5</v>
      </c>
      <c r="E4" s="58" t="s">
        <v>51</v>
      </c>
      <c r="F4" s="41"/>
      <c r="G4" s="9" t="s">
        <v>72</v>
      </c>
      <c r="H4" s="9"/>
    </row>
    <row r="5" spans="1:8" ht="30" x14ac:dyDescent="0.25">
      <c r="A5" s="36"/>
      <c r="B5" s="12" t="s">
        <v>57</v>
      </c>
      <c r="C5" s="51" t="s">
        <v>31</v>
      </c>
      <c r="D5" s="71" t="s">
        <v>6</v>
      </c>
      <c r="E5" s="57" t="s">
        <v>52</v>
      </c>
      <c r="F5" s="41"/>
      <c r="G5" s="9" t="s">
        <v>72</v>
      </c>
      <c r="H5" s="9"/>
    </row>
    <row r="6" spans="1:8" ht="30" x14ac:dyDescent="0.25">
      <c r="A6" s="36">
        <v>1</v>
      </c>
      <c r="B6" s="12" t="s">
        <v>58</v>
      </c>
      <c r="C6" s="51" t="s">
        <v>31</v>
      </c>
      <c r="D6" s="7" t="s">
        <v>8</v>
      </c>
      <c r="E6" s="58" t="s">
        <v>53</v>
      </c>
      <c r="F6" s="44" t="s">
        <v>45</v>
      </c>
      <c r="G6" s="9" t="s">
        <v>72</v>
      </c>
      <c r="H6" s="9"/>
    </row>
    <row r="7" spans="1:8" ht="30" x14ac:dyDescent="0.25">
      <c r="A7" s="36"/>
      <c r="B7" s="12" t="s">
        <v>59</v>
      </c>
      <c r="C7" s="51" t="s">
        <v>31</v>
      </c>
      <c r="D7" s="71" t="s">
        <v>9</v>
      </c>
      <c r="E7" s="57" t="s">
        <v>54</v>
      </c>
      <c r="F7" s="41"/>
      <c r="G7" s="9" t="s">
        <v>72</v>
      </c>
      <c r="H7" s="9"/>
    </row>
    <row r="8" spans="1:8" ht="30.75" thickBot="1" x14ac:dyDescent="0.3">
      <c r="A8" s="36"/>
      <c r="B8" s="68" t="s">
        <v>60</v>
      </c>
      <c r="C8" s="67" t="s">
        <v>31</v>
      </c>
      <c r="D8" s="65" t="s">
        <v>61</v>
      </c>
      <c r="E8" s="69" t="s">
        <v>55</v>
      </c>
      <c r="F8" s="42"/>
      <c r="G8" s="66" t="s">
        <v>72</v>
      </c>
      <c r="H8" s="66"/>
    </row>
    <row r="9" spans="1:8" ht="30.75" thickBot="1" x14ac:dyDescent="0.3">
      <c r="A9" s="36"/>
      <c r="B9" s="33" t="s">
        <v>27</v>
      </c>
      <c r="C9" s="51" t="s">
        <v>30</v>
      </c>
      <c r="D9" s="57" t="s">
        <v>69</v>
      </c>
      <c r="E9" s="57" t="s">
        <v>81</v>
      </c>
      <c r="F9" s="42"/>
      <c r="G9" s="9" t="s">
        <v>82</v>
      </c>
      <c r="H9" s="9"/>
    </row>
    <row r="10" spans="1:8" ht="15.75" customHeight="1" thickBot="1" x14ac:dyDescent="0.3">
      <c r="A10" s="37"/>
      <c r="B10" s="18"/>
      <c r="C10" s="65"/>
      <c r="D10" s="65"/>
      <c r="E10" s="65"/>
      <c r="F10" s="19"/>
      <c r="G10" s="19"/>
      <c r="H10" s="19"/>
    </row>
    <row r="11" spans="1:8" ht="16.5" thickBot="1" x14ac:dyDescent="0.3">
      <c r="A11" s="35"/>
      <c r="B11" s="28" t="s">
        <v>40</v>
      </c>
      <c r="C11" s="50"/>
      <c r="D11" s="72" t="s">
        <v>73</v>
      </c>
      <c r="E11" s="72" t="s">
        <v>74</v>
      </c>
      <c r="F11" s="29"/>
      <c r="G11" s="29"/>
      <c r="H11" s="30"/>
    </row>
    <row r="12" spans="1:8" ht="15" customHeight="1" x14ac:dyDescent="0.25">
      <c r="A12" s="36"/>
      <c r="B12" s="12" t="s">
        <v>64</v>
      </c>
      <c r="C12" s="7" t="s">
        <v>31</v>
      </c>
      <c r="D12" s="57" t="s">
        <v>65</v>
      </c>
      <c r="E12" s="57" t="s">
        <v>75</v>
      </c>
      <c r="F12" s="43"/>
      <c r="G12" s="9" t="s">
        <v>82</v>
      </c>
      <c r="H12" s="9"/>
    </row>
    <row r="13" spans="1:8" ht="15" customHeight="1" x14ac:dyDescent="0.25">
      <c r="A13" s="36"/>
      <c r="B13" s="14" t="s">
        <v>66</v>
      </c>
      <c r="C13" s="7" t="s">
        <v>31</v>
      </c>
      <c r="D13" s="58" t="s">
        <v>67</v>
      </c>
      <c r="E13" s="58" t="s">
        <v>76</v>
      </c>
      <c r="F13" s="41"/>
      <c r="G13" s="9" t="s">
        <v>82</v>
      </c>
      <c r="H13" s="9"/>
    </row>
    <row r="14" spans="1:8" ht="15" customHeight="1" x14ac:dyDescent="0.25">
      <c r="A14" s="36"/>
      <c r="B14" s="12" t="s">
        <v>20</v>
      </c>
      <c r="C14" s="7" t="s">
        <v>31</v>
      </c>
      <c r="D14" s="57" t="s">
        <v>68</v>
      </c>
      <c r="E14" s="57" t="s">
        <v>77</v>
      </c>
      <c r="F14" s="41"/>
      <c r="G14" s="9" t="s">
        <v>82</v>
      </c>
      <c r="H14" s="9"/>
    </row>
    <row r="15" spans="1:8" ht="45" x14ac:dyDescent="0.25">
      <c r="A15" s="36">
        <v>2</v>
      </c>
      <c r="B15" s="12" t="s">
        <v>21</v>
      </c>
      <c r="C15" s="7" t="s">
        <v>31</v>
      </c>
      <c r="D15" s="58" t="s">
        <v>70</v>
      </c>
      <c r="E15" s="58" t="s">
        <v>78</v>
      </c>
      <c r="F15" s="44" t="s">
        <v>46</v>
      </c>
      <c r="G15" s="9" t="s">
        <v>82</v>
      </c>
      <c r="H15" s="9"/>
    </row>
    <row r="16" spans="1:8" ht="15" customHeight="1" x14ac:dyDescent="0.25">
      <c r="A16" s="36"/>
      <c r="B16" s="12" t="s">
        <v>22</v>
      </c>
      <c r="C16" s="7" t="s">
        <v>31</v>
      </c>
      <c r="D16" s="57" t="s">
        <v>48</v>
      </c>
      <c r="E16" s="57" t="s">
        <v>79</v>
      </c>
      <c r="F16" s="41"/>
      <c r="G16" s="9" t="s">
        <v>82</v>
      </c>
      <c r="H16" s="9"/>
    </row>
    <row r="17" spans="1:8" ht="15" customHeight="1" thickBot="1" x14ac:dyDescent="0.3">
      <c r="A17" s="36"/>
      <c r="B17" s="12" t="s">
        <v>23</v>
      </c>
      <c r="C17" s="7" t="s">
        <v>31</v>
      </c>
      <c r="D17" s="58" t="s">
        <v>71</v>
      </c>
      <c r="E17" s="58" t="s">
        <v>80</v>
      </c>
      <c r="F17" s="41"/>
      <c r="G17" s="9" t="s">
        <v>82</v>
      </c>
      <c r="H17" s="9"/>
    </row>
    <row r="18" spans="1:8" ht="15" customHeight="1" thickBot="1" x14ac:dyDescent="0.3">
      <c r="A18" s="37"/>
      <c r="B18" s="18"/>
      <c r="C18" s="52"/>
      <c r="D18" s="52"/>
      <c r="E18" s="52"/>
      <c r="F18" s="45"/>
      <c r="G18" s="24"/>
      <c r="H18" s="24"/>
    </row>
    <row r="19" spans="1:8" ht="16.5" customHeight="1" thickBot="1" x14ac:dyDescent="0.3">
      <c r="A19" s="35"/>
      <c r="B19" s="28" t="s">
        <v>36</v>
      </c>
      <c r="C19" s="50"/>
      <c r="D19" s="50"/>
      <c r="E19" s="50"/>
      <c r="F19" s="39"/>
      <c r="G19" s="29"/>
      <c r="H19" s="30"/>
    </row>
    <row r="20" spans="1:8" ht="15" customHeight="1" x14ac:dyDescent="0.25">
      <c r="A20" s="36"/>
      <c r="B20" s="22" t="s">
        <v>24</v>
      </c>
      <c r="C20" s="51" t="s">
        <v>32</v>
      </c>
      <c r="D20" s="57" t="s">
        <v>10</v>
      </c>
      <c r="E20" s="57" t="s">
        <v>83</v>
      </c>
      <c r="F20" s="47"/>
      <c r="G20" s="46" t="s">
        <v>72</v>
      </c>
      <c r="H20" s="8"/>
    </row>
    <row r="21" spans="1:8" s="15" customFormat="1" ht="45" x14ac:dyDescent="0.25">
      <c r="A21" s="32">
        <v>3</v>
      </c>
      <c r="B21" s="12" t="s">
        <v>25</v>
      </c>
      <c r="C21" s="49" t="s">
        <v>32</v>
      </c>
      <c r="D21" s="1" t="s">
        <v>12</v>
      </c>
      <c r="E21" s="1" t="s">
        <v>84</v>
      </c>
      <c r="F21" s="44" t="s">
        <v>47</v>
      </c>
      <c r="G21" s="74" t="s">
        <v>72</v>
      </c>
      <c r="H21" s="1"/>
    </row>
    <row r="22" spans="1:8" ht="15.75" customHeight="1" thickBot="1" x14ac:dyDescent="0.3">
      <c r="A22" s="36"/>
      <c r="B22" s="11" t="s">
        <v>26</v>
      </c>
      <c r="C22" s="49" t="s">
        <v>32</v>
      </c>
      <c r="D22" s="73" t="s">
        <v>11</v>
      </c>
      <c r="E22" s="73" t="s">
        <v>85</v>
      </c>
      <c r="F22" s="48"/>
      <c r="G22" s="6" t="s">
        <v>72</v>
      </c>
      <c r="H22" s="2"/>
    </row>
    <row r="23" spans="1:8" ht="15.75" customHeight="1" thickBot="1" x14ac:dyDescent="0.3">
      <c r="A23" s="37"/>
      <c r="B23" s="21"/>
      <c r="C23" s="53"/>
      <c r="D23" s="53"/>
      <c r="E23" s="53"/>
      <c r="F23" s="24"/>
      <c r="G23" s="20"/>
      <c r="H23" s="20"/>
    </row>
    <row r="24" spans="1:8" ht="16.5" thickBot="1" x14ac:dyDescent="0.3">
      <c r="A24" s="35"/>
      <c r="B24" s="28" t="s">
        <v>37</v>
      </c>
      <c r="C24" s="50"/>
      <c r="D24" s="50"/>
      <c r="E24" s="50"/>
      <c r="F24" s="29"/>
      <c r="G24" s="29"/>
      <c r="H24" s="30"/>
    </row>
    <row r="25" spans="1:8" ht="15" customHeight="1" x14ac:dyDescent="0.25">
      <c r="A25" s="36"/>
      <c r="B25" s="23" t="s">
        <v>0</v>
      </c>
      <c r="C25" s="7"/>
      <c r="D25" s="7" t="s">
        <v>14</v>
      </c>
      <c r="E25" s="7" t="s">
        <v>42</v>
      </c>
      <c r="F25" s="8" t="s">
        <v>86</v>
      </c>
      <c r="G25" s="8" t="s">
        <v>72</v>
      </c>
      <c r="H25" s="8"/>
    </row>
    <row r="26" spans="1:8" ht="75" x14ac:dyDescent="0.25">
      <c r="A26" s="36">
        <v>4</v>
      </c>
      <c r="B26" s="10" t="s">
        <v>2</v>
      </c>
      <c r="C26" s="1" t="s">
        <v>29</v>
      </c>
      <c r="D26" s="1" t="s">
        <v>15</v>
      </c>
      <c r="E26" s="1" t="s">
        <v>43</v>
      </c>
      <c r="F26" s="1" t="s">
        <v>88</v>
      </c>
      <c r="G26" s="75" t="s">
        <v>89</v>
      </c>
      <c r="H26" s="5" t="s">
        <v>87</v>
      </c>
    </row>
    <row r="27" spans="1:8" ht="15" customHeight="1" x14ac:dyDescent="0.25">
      <c r="A27" s="36"/>
      <c r="B27" s="10" t="s">
        <v>3</v>
      </c>
      <c r="C27" s="1" t="s">
        <v>33</v>
      </c>
      <c r="D27" s="1" t="s">
        <v>16</v>
      </c>
      <c r="E27" s="1" t="s">
        <v>44</v>
      </c>
      <c r="F27" s="2"/>
      <c r="G27" s="2"/>
      <c r="H27" s="2"/>
    </row>
    <row r="28" spans="1:8" ht="15.75" customHeight="1" thickBot="1" x14ac:dyDescent="0.3">
      <c r="A28" s="37"/>
      <c r="B28" s="16"/>
      <c r="C28" s="53"/>
      <c r="D28" s="53"/>
      <c r="E28" s="53"/>
      <c r="F28" s="20"/>
      <c r="G28" s="20"/>
      <c r="H28" s="20"/>
    </row>
    <row r="29" spans="1:8" ht="16.5" thickBot="1" x14ac:dyDescent="0.3">
      <c r="A29" s="38"/>
      <c r="B29" s="28" t="s">
        <v>38</v>
      </c>
      <c r="C29" s="50"/>
      <c r="D29" s="50"/>
      <c r="E29" s="50"/>
      <c r="F29" s="29"/>
      <c r="G29" s="29"/>
      <c r="H29" s="30"/>
    </row>
    <row r="30" spans="1:8" ht="15" customHeight="1" x14ac:dyDescent="0.25">
      <c r="A30" s="36"/>
      <c r="B30" s="17" t="s">
        <v>4</v>
      </c>
      <c r="C30" s="7"/>
      <c r="D30" s="7" t="s">
        <v>17</v>
      </c>
      <c r="E30" s="7"/>
      <c r="F30" s="8"/>
      <c r="G30" s="8"/>
      <c r="H30" s="8"/>
    </row>
    <row r="31" spans="1:8" ht="15" customHeight="1" x14ac:dyDescent="0.25">
      <c r="A31" s="36">
        <v>5</v>
      </c>
      <c r="B31" s="13" t="s">
        <v>1</v>
      </c>
      <c r="C31" s="1"/>
      <c r="D31" s="1" t="s">
        <v>17</v>
      </c>
      <c r="E31" s="1"/>
      <c r="F31" s="2"/>
      <c r="G31" s="2"/>
      <c r="H31" s="2"/>
    </row>
    <row r="32" spans="1:8" ht="15.75" customHeight="1" thickBot="1" x14ac:dyDescent="0.3">
      <c r="A32" s="37"/>
      <c r="B32" s="4"/>
      <c r="C32" s="53"/>
      <c r="D32" s="53"/>
      <c r="E32" s="53"/>
      <c r="F32" s="20"/>
      <c r="G32" s="20"/>
      <c r="H32" s="20"/>
    </row>
    <row r="33" spans="1:8" ht="15.75" thickBot="1" x14ac:dyDescent="0.3">
      <c r="A33" s="19"/>
      <c r="B33" s="27"/>
      <c r="C33" s="55"/>
      <c r="D33" s="54"/>
      <c r="E33" s="55"/>
      <c r="F33" s="25"/>
      <c r="G33" s="25"/>
      <c r="H33" s="26"/>
    </row>
    <row r="34" spans="1:8" ht="15.75" thickBot="1" x14ac:dyDescent="0.3"/>
    <row r="35" spans="1:8" ht="15.75" thickBot="1" x14ac:dyDescent="0.3">
      <c r="B35" s="34" t="s">
        <v>41</v>
      </c>
    </row>
    <row r="36" spans="1:8" x14ac:dyDescent="0.25">
      <c r="D36" s="15" t="s">
        <v>49</v>
      </c>
      <c r="E36" s="15" t="str">
        <f>LOWER(D36)</f>
        <v>&lt;&lt; matter.responsibleattorney.email &gt;&gt;</v>
      </c>
    </row>
    <row r="39" spans="1:8" ht="15.75" x14ac:dyDescent="0.25">
      <c r="C39" s="56"/>
      <c r="D39" s="56"/>
      <c r="E39" s="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FuncTestingScenarios</vt:lpstr>
      <vt:lpstr>EdgeCaseTestingScenarios</vt:lpstr>
      <vt:lpstr>EdgeCaseTestingScenarios!_Hlk108346204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Dolan</dc:creator>
  <cp:lastModifiedBy>Timothy Dolan</cp:lastModifiedBy>
  <dcterms:created xsi:type="dcterms:W3CDTF">2026-02-20T18:25:31Z</dcterms:created>
  <dcterms:modified xsi:type="dcterms:W3CDTF">2026-03-23T18:00:56Z</dcterms:modified>
</cp:coreProperties>
</file>